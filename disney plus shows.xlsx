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37f70af9a0c2d14/Desktop/Entri/Mini Project/"/>
    </mc:Choice>
  </mc:AlternateContent>
  <xr:revisionPtr revIDLastSave="370" documentId="8_{AB99A77C-8813-4BD3-A3F6-8A13ED0EF756}" xr6:coauthVersionLast="47" xr6:coauthVersionMax="47" xr10:uidLastSave="{37D36BF8-A987-4E62-93FB-C9A7ABA98599}"/>
  <bookViews>
    <workbookView xWindow="-108" yWindow="-108" windowWidth="23256" windowHeight="12456" xr2:uid="{589009C5-3F79-4E4A-9DB7-D7CA60E2A840}"/>
  </bookViews>
  <sheets>
    <sheet name="disney_plus_shows (2)" sheetId="3" r:id="rId1"/>
  </sheets>
  <definedNames>
    <definedName name="ExternalData_1" localSheetId="0" hidden="1">'disney_plus_shows (2)'!$A$1:$S$21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3" l="1"/>
  <c r="V3" i="3"/>
  <c r="V4" i="3"/>
  <c r="V5" i="3"/>
  <c r="V6" i="3"/>
  <c r="V7" i="3"/>
  <c r="V8" i="3"/>
  <c r="V9" i="3"/>
  <c r="V10" i="3"/>
  <c r="V11" i="3"/>
  <c r="V12" i="3"/>
  <c r="V13" i="3"/>
  <c r="V14" i="3"/>
  <c r="V15" i="3"/>
  <c r="V16" i="3"/>
  <c r="V17" i="3"/>
  <c r="V18" i="3"/>
  <c r="V19" i="3"/>
  <c r="V20" i="3"/>
  <c r="V21" i="3"/>
  <c r="U2" i="3"/>
  <c r="U3" i="3"/>
  <c r="U4" i="3"/>
  <c r="U5" i="3"/>
  <c r="U6" i="3"/>
  <c r="U7" i="3"/>
  <c r="U8" i="3"/>
  <c r="U9" i="3"/>
  <c r="U10" i="3"/>
  <c r="U11" i="3"/>
  <c r="U12" i="3"/>
  <c r="U13" i="3"/>
  <c r="U14" i="3"/>
  <c r="U15" i="3"/>
  <c r="U16" i="3"/>
  <c r="U17" i="3"/>
  <c r="U18" i="3"/>
  <c r="U19" i="3"/>
  <c r="U20" i="3"/>
  <c r="U21" i="3"/>
  <c r="T2" i="3"/>
  <c r="T3" i="3"/>
  <c r="T4" i="3"/>
  <c r="T5" i="3"/>
  <c r="T6" i="3"/>
  <c r="T7" i="3"/>
  <c r="T8" i="3"/>
  <c r="T9" i="3"/>
  <c r="T10" i="3"/>
  <c r="T11" i="3"/>
  <c r="T12" i="3"/>
  <c r="T13" i="3"/>
  <c r="T14" i="3"/>
  <c r="T15" i="3"/>
  <c r="T16" i="3"/>
  <c r="T17" i="3"/>
  <c r="T18" i="3"/>
  <c r="T19" i="3"/>
  <c r="T20" i="3"/>
  <c r="T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8BBAFA-FC69-485D-BA55-D5B1B6EB7F7A}" keepAlive="1" name="Query - disney_plus_shows" description="Connection to the 'disney_plus_shows' query in the workbook." type="5" refreshedVersion="0" background="1">
    <dbPr connection="Provider=Microsoft.Mashup.OleDb.1;Data Source=$Workbook$;Location=disney_plus_shows;Extended Properties=&quot;&quot;" command="SELECT * FROM [disney_plus_shows]"/>
  </connection>
  <connection id="2" xr16:uid="{9BE9A2DC-85BF-4A05-9032-EAC03400BB79}" keepAlive="1" name="Query - disney_plus_shows (2)" description="Connection to the 'disney_plus_shows (2)' query in the workbook." type="5" refreshedVersion="8" background="1" saveData="1">
    <dbPr connection="Provider=Microsoft.Mashup.OleDb.1;Data Source=$Workbook$;Location=&quot;disney_plus_shows (2)&quot;;Extended Properties=&quot;&quot;" command="SELECT * FROM [disney_plus_shows (2)]"/>
  </connection>
</connections>
</file>

<file path=xl/sharedStrings.xml><?xml version="1.0" encoding="utf-8"?>
<sst xmlns="http://schemas.openxmlformats.org/spreadsheetml/2006/main" count="282" uniqueCount="201">
  <si>
    <t>10 Things I Hate About You</t>
  </si>
  <si>
    <t>A pretty, popular teenager can't go out on a date until her ill-tempered older sister does.</t>
  </si>
  <si>
    <t>PG-13</t>
  </si>
  <si>
    <t>97 min</t>
  </si>
  <si>
    <t>Comedy, Drama, Romance</t>
  </si>
  <si>
    <t>Gil Junger</t>
  </si>
  <si>
    <t>Karen McCullah, Kirsten Smith</t>
  </si>
  <si>
    <t>Heath Ledger, Julia Stiles, Joseph Gordon-Levitt, Larisa Oleynik</t>
  </si>
  <si>
    <t>English, French</t>
  </si>
  <si>
    <t>USA</t>
  </si>
  <si>
    <t>101 Dalmatian Street</t>
  </si>
  <si>
    <t>This series follows the lives of Delilah and Doug, descendants of Pongo and Perdita, and their 99 dalmatian pups at 101 Dalmatian Street, Camden Town.</t>
  </si>
  <si>
    <t>Animation, Comedy, Family</t>
  </si>
  <si>
    <t>Josh Brener, Michaela Dietz, Bert Davis, Abigail Zoe Lewis</t>
  </si>
  <si>
    <t>English</t>
  </si>
  <si>
    <t>UK, USA, Canada</t>
  </si>
  <si>
    <t>101 Dalmatians</t>
  </si>
  <si>
    <t>An evil high-fashion designer plots to steal Dalmatian puppies in order to make an extravagant fur coat, but instead creates an extravagant mess.</t>
  </si>
  <si>
    <t>G</t>
  </si>
  <si>
    <t>103 min</t>
  </si>
  <si>
    <t>Adventure, Comedy, Crime, Family</t>
  </si>
  <si>
    <t>Stephen Herek</t>
  </si>
  <si>
    <t>Dodie Smith (novel), John Hughes (screenplay)</t>
  </si>
  <si>
    <t>Glenn Close, Jeff Daniels, Joely Richardson, Joan Plowright</t>
  </si>
  <si>
    <t>English, Spanish</t>
  </si>
  <si>
    <t>USA, UK</t>
  </si>
  <si>
    <t>101 Dalmatians 2: Patch's London Adventure</t>
  </si>
  <si>
    <t>Being one of 101 takes its toll on Patch, who doesn't feel unique. When he's accidentally left behind on moving day, he meets his idol, Thunderbolt, who enlists him on a publicity campaign.</t>
  </si>
  <si>
    <t>74 min</t>
  </si>
  <si>
    <t>Animation, Adventure, Comedy, Family, Musical</t>
  </si>
  <si>
    <t>Jim Kammerud, Brian Smith</t>
  </si>
  <si>
    <t>Jim Kammerud (story), Dan Root (story), Garrett K. Schiff (story), Brian Smith (story), Jim Kammerud (screenplay), Brian Smith (screenplay), Dodie Smith (novel), Michael Lucker, Temple Mathews (additional script material)</t>
  </si>
  <si>
    <t>Barry Bostwick, Jason Alexander, Martin Short, Bobby Lockwood</t>
  </si>
  <si>
    <t>102 Dalmatians</t>
  </si>
  <si>
    <t>Cruella DeVil gets out of prison and goes after the puppies once more.</t>
  </si>
  <si>
    <t>100 min</t>
  </si>
  <si>
    <t>Adventure, Comedy, Family</t>
  </si>
  <si>
    <t>Kevin Lima</t>
  </si>
  <si>
    <t>Dodie Smith (novel), Kristen Buckley (story), Brian Regan (story), Kristen Buckley (screenplay), Brian Regan (screenplay), Bob Tzudiker (screenplay), Noni White (screenplay)</t>
  </si>
  <si>
    <t>12 Dates of Christmas</t>
  </si>
  <si>
    <t>A story that follows Kate, a young woman who after a horrible blind date on Christmas Eve, wakes up to find she is re-living that same day and date all over again.</t>
  </si>
  <si>
    <t>PG</t>
  </si>
  <si>
    <t>90 min</t>
  </si>
  <si>
    <t>Comedy, Fantasy, Romance</t>
  </si>
  <si>
    <t>James Hayman</t>
  </si>
  <si>
    <t>Aaron Mendelsohn (teleplay), Janet Brownell (teleplay), Aaron Mendelsohn (story), Blake Harris (story)</t>
  </si>
  <si>
    <t>Laura Miyata, Vijay Mehta, Amy Smart, Audrey Dwyer</t>
  </si>
  <si>
    <t>20,000 Leagues Under the Sea</t>
  </si>
  <si>
    <t>A ship sent to investigate a wave of mysterious sinkings encounters the advanced submarine, the Nautilus, commanded by Captain Nemo.</t>
  </si>
  <si>
    <t>127 min</t>
  </si>
  <si>
    <t>Adventure, Drama, Family, Fantasy, Sci-Fi</t>
  </si>
  <si>
    <t>Richard Fleischer</t>
  </si>
  <si>
    <t>Earl Felton (screenplay)</t>
  </si>
  <si>
    <t>Kirk Douglas, James Mason, Paul Lukas, Peter Lorre</t>
  </si>
  <si>
    <t>A Bug's Life</t>
  </si>
  <si>
    <t>A misfit ant, looking for "warriors" to save his colony from greedy grasshoppers, recruits a group of bugs that turn out to be an inept circus troupe.</t>
  </si>
  <si>
    <t>95 min</t>
  </si>
  <si>
    <t>Animation, Adventure, Comedy, Family</t>
  </si>
  <si>
    <t>John Lasseter, Andrew Stanton(co-director)</t>
  </si>
  <si>
    <t>John Lasseter (original story by), Andrew Stanton (original story by), Joe Ranft (original story by), Andrew Stanton (screenplay by), Don McEnery (screenplay by), Bob Shaw (screenplay by)</t>
  </si>
  <si>
    <t>Dave Foley, Kevin Spacey, Julia Louis-Dreyfus, Hayden Panettiere</t>
  </si>
  <si>
    <t>A Celebration of the Music from Coco</t>
  </si>
  <si>
    <t>Music</t>
  </si>
  <si>
    <t>Ron de Moraes</t>
  </si>
  <si>
    <t>Benjamin Bratt, Eva Longoria</t>
  </si>
  <si>
    <t>A Goofy Movie</t>
  </si>
  <si>
    <t>When Max makes a preposterous promise to a girl he has a crush on, his chances to fulfilling it seem hopeless when he is dragged onto a cross-country trip with his embarrassing father, Goofy.</t>
  </si>
  <si>
    <t>78 min</t>
  </si>
  <si>
    <t>Animation, Adventure, Comedy, Family, Musical, Romance</t>
  </si>
  <si>
    <t>Jymn Magon (story), Jymn Magon (screenplay), Chris Matheson (screenplay), Brian Pimental (screenplay), Brian Pimental (story supervisor), Curtis Armstrong (additional written material), John Doolittle (additional written material)</t>
  </si>
  <si>
    <t>Bill Farmer, Jason Marsden, Jim Cummings, Kellie Martin</t>
  </si>
  <si>
    <t>USA, Australia, France, Canada</t>
  </si>
  <si>
    <t>A Kid in King Arthur's Court</t>
  </si>
  <si>
    <t>A Little League player is sent back into medieval times where he is given the task of saving Camelot.</t>
  </si>
  <si>
    <t>89 min</t>
  </si>
  <si>
    <t>Adventure, Comedy, Family, Fantasy, Romance</t>
  </si>
  <si>
    <t>Michael Gottlieb</t>
  </si>
  <si>
    <t>Michael Part, Robert L. Levy</t>
  </si>
  <si>
    <t>Thomas Ian Nicholas, Joss Ackland, Art Malik, Paloma Baeza</t>
  </si>
  <si>
    <t>USA, Hungary, UK</t>
  </si>
  <si>
    <t>A Knight for a Day</t>
  </si>
  <si>
    <t>By accident, Cedric (Goofy), replaces his master, Sir Loinsteak, in the armor just before the joust with champion Sir Cumference.</t>
  </si>
  <si>
    <t>APPROVED</t>
  </si>
  <si>
    <t>7 min</t>
  </si>
  <si>
    <t>Animation, Short, Comedy</t>
  </si>
  <si>
    <t>Jack Hannah</t>
  </si>
  <si>
    <t>Bill Peet (story)</t>
  </si>
  <si>
    <t>Pinto Colvig</t>
  </si>
  <si>
    <t>A Ring of Endless Light</t>
  </si>
  <si>
    <t>Based on the Novel by Madeline L'Engle. During the summer her grandfather is dying of leukemia and death seems all around, 15-year-old Vicky finds comfort with the pod of dolphins with ...</t>
  </si>
  <si>
    <t>TV-G</t>
  </si>
  <si>
    <t>88 min</t>
  </si>
  <si>
    <t>Drama, Family, Romance</t>
  </si>
  <si>
    <t>Greg Beeman</t>
  </si>
  <si>
    <t>Madeleine L'Engle (novel), Marita Giovanni (teleplay), Bruce Graham (teleplay)</t>
  </si>
  <si>
    <t>Mischa Barton, Ryan Merriman, Jared Padalecki, Scarlett Pomers</t>
  </si>
  <si>
    <t>A Tale of Two Critters</t>
  </si>
  <si>
    <t>A bear cub and a raccoon become fast friends when they're swept away down a river, away from their families.</t>
  </si>
  <si>
    <t>48 min</t>
  </si>
  <si>
    <t>Adventure, Family</t>
  </si>
  <si>
    <t>Jack Speirs</t>
  </si>
  <si>
    <t>Mayf Nutter</t>
  </si>
  <si>
    <t>A Wrinkle in Time</t>
  </si>
  <si>
    <t>After the disappearance of her scientist father, three peculiar beings send Meg, her brother, and her friend to space in order to find him.</t>
  </si>
  <si>
    <t>109 min</t>
  </si>
  <si>
    <t>Adventure, Family, Fantasy, Sci-Fi</t>
  </si>
  <si>
    <t>Ava DuVernay</t>
  </si>
  <si>
    <t>Jennifer Lee (screenplay by), Jeff Stockwell (screenplay by), Madeleine L'Engle (based upon the novel by)</t>
  </si>
  <si>
    <t>Storm Reid, Oprah Winfrey, Reese Witherspoon, Mindy Kaling</t>
  </si>
  <si>
    <t>Aladdin</t>
  </si>
  <si>
    <t>A kind-hearted street urchin and a power-hungry Grand Vizier vie for a magic lamp that has the power to make their deepest wishes come true.</t>
  </si>
  <si>
    <t>128 min</t>
  </si>
  <si>
    <t>Adventure, Family, Fantasy, Musical, Romance</t>
  </si>
  <si>
    <t>Guy Ritchie</t>
  </si>
  <si>
    <t>John August (screenplay by), Guy Ritchie (screenplay by)</t>
  </si>
  <si>
    <t>Will Smith, Mena Massoud, Naomi Scott, Marwan Kenzari</t>
  </si>
  <si>
    <t>English, Arabic</t>
  </si>
  <si>
    <t>A kindhearted street urchin and a power-hungry Grand Vizier vie for a magic lamp that has the power to make their deepest wishes come true.</t>
  </si>
  <si>
    <t>Animation, Adventure, Comedy, Family, Fantasy, Musical, Romance</t>
  </si>
  <si>
    <t>Ron Clements, John Musker</t>
  </si>
  <si>
    <t>Ron Clements (screenplay by), John Musker (screenplay by), Ted Elliott (screenplay by), Terry Rossio (screenplay by),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t>
  </si>
  <si>
    <t>Scott Weinger, Robin Williams, Linda Larkin, Jonathan Freeman</t>
  </si>
  <si>
    <t>Aladdin and the King of Thieves</t>
  </si>
  <si>
    <t>The King of Thieves disrupts Aladdin and Jasmine's long-anticipated wedding, looking for an oracle that will lead him to an even bigger treasure. His true identity causes trouble for Aladdin.</t>
  </si>
  <si>
    <t>Not Rated</t>
  </si>
  <si>
    <t>81 min</t>
  </si>
  <si>
    <t>Tad Stones</t>
  </si>
  <si>
    <t>Mark McCorkle (screenplay by), Robert Schooley (screenplay)</t>
  </si>
  <si>
    <t>Val Bettin, Jim Cummings, Gilbert Gottfried, Linda Larkin</t>
  </si>
  <si>
    <t>Aladdin and the Return of Jafar</t>
  </si>
  <si>
    <t>Jafar comes for revenge on Aladdin, using a foolish thief and Iago's treachery to find a way back into power.</t>
  </si>
  <si>
    <t>69 min</t>
  </si>
  <si>
    <t>Toby Shelton, Tad Stones, Alan Zaslove</t>
  </si>
  <si>
    <t>Duane Capizzi (story), Doug Langdale (story), Mark McCorkle (story), Robert Schooley (story), Tad Stones (story), Kevin Campbell, Mirith J. Colao, Bill Motz, Steve Roberts, Dev Ross, Bob Roth, Jan Strnad, Brian Swenlin</t>
  </si>
  <si>
    <t>Jason Alexander, Jonathan Freeman, Jeff Bennett, Gilbert Gottfried</t>
  </si>
  <si>
    <t>Alice in Wonderland</t>
  </si>
  <si>
    <t>Alice stumbles into the world of Wonderland. Will she get home? Not if the Queen of Hearts has her way.</t>
  </si>
  <si>
    <t>75 min</t>
  </si>
  <si>
    <t>Animation, Adventure, Family, Fantasy, Musical</t>
  </si>
  <si>
    <t>Clyde Geronimi, Wilfred Jackson, Hamilton Luske</t>
  </si>
  <si>
    <t>Lewis Carroll (adaptation), Winston Hibler (story), Ted Sears (story), Bill Peet (story), Erdman Penner (story), Joe Rinaldi (story), Milt Banta (story), William Cottrell (story), Dick Kelsey (story), Joe Grant (story), Dick Huemer (story), Del Connell (story), Tom Oreb (story), John Walbridge (story)</t>
  </si>
  <si>
    <t>Kathryn Beaumont, Ed Wynn, Richard Haydn, Sterling Holloway</t>
  </si>
  <si>
    <t>Glenn Close, Gérard Depardieu, Ioan Gruffudd, Alice Evans</t>
  </si>
  <si>
    <t>IMDB_ID</t>
  </si>
  <si>
    <t>Title</t>
  </si>
  <si>
    <t>Plot</t>
  </si>
  <si>
    <t>Type</t>
  </si>
  <si>
    <t>Rated</t>
  </si>
  <si>
    <t>Year</t>
  </si>
  <si>
    <t>Released_at</t>
  </si>
  <si>
    <t>Added_at</t>
  </si>
  <si>
    <t>Runtime</t>
  </si>
  <si>
    <t>Genre</t>
  </si>
  <si>
    <t>Director</t>
  </si>
  <si>
    <t>Writer</t>
  </si>
  <si>
    <t>Actors</t>
  </si>
  <si>
    <t>Language</t>
  </si>
  <si>
    <t>Country</t>
  </si>
  <si>
    <t>Awards</t>
  </si>
  <si>
    <t>Metascore</t>
  </si>
  <si>
    <t>Imdb_rating</t>
  </si>
  <si>
    <t>Imdb_votes</t>
  </si>
  <si>
    <t>TT0038674</t>
  </si>
  <si>
    <t>Series</t>
  </si>
  <si>
    <t>Unknown</t>
  </si>
  <si>
    <t>TT0043274</t>
  </si>
  <si>
    <t>Nominated for 1 Oscar, Another 1 nomination</t>
  </si>
  <si>
    <t>TT0046672</t>
  </si>
  <si>
    <t>Movie</t>
  </si>
  <si>
    <t>Won 2 Oscars, Another 3 wins &amp; 3 nominations</t>
  </si>
  <si>
    <t>TT0103639</t>
  </si>
  <si>
    <t>Won 2 Oscars, Another 31 wins &amp; 22 nominations</t>
  </si>
  <si>
    <t>TT0107952</t>
  </si>
  <si>
    <t>1 nomination</t>
  </si>
  <si>
    <t>TT0113198</t>
  </si>
  <si>
    <t>5 nominations</t>
  </si>
  <si>
    <t>TT0113538</t>
  </si>
  <si>
    <t>TT0115433</t>
  </si>
  <si>
    <t>Nominated for 1 Golden Globe, Another 3 wins &amp; 9 nominations</t>
  </si>
  <si>
    <t>TT0115491</t>
  </si>
  <si>
    <t>2 wins &amp; 1 nomination</t>
  </si>
  <si>
    <t>TT0120623</t>
  </si>
  <si>
    <t>Nominated for 1 Oscar, Another 14 wins &amp; 20 nominations</t>
  </si>
  <si>
    <t>TT0147800</t>
  </si>
  <si>
    <t>2 wins &amp; 13 nominations</t>
  </si>
  <si>
    <t>TT0211181</t>
  </si>
  <si>
    <t>Nominated for 1 Oscar, Another 1 win &amp; 7 nominations</t>
  </si>
  <si>
    <t>TT0282123</t>
  </si>
  <si>
    <t>TT0287003</t>
  </si>
  <si>
    <t>TT0324941</t>
  </si>
  <si>
    <t>5 wins &amp; 10 nominations</t>
  </si>
  <si>
    <t>TT12076020</t>
  </si>
  <si>
    <t>TT1620680</t>
  </si>
  <si>
    <t>5 wins &amp; 15 nominations</t>
  </si>
  <si>
    <t>TT1846442</t>
  </si>
  <si>
    <t>TT6139732</t>
  </si>
  <si>
    <t>7 wins &amp; 32 nominations</t>
  </si>
  <si>
    <t>TT7019028</t>
  </si>
  <si>
    <t>Rating Status</t>
  </si>
  <si>
    <t>Vote Status</t>
  </si>
  <si>
    <t>Year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</si>
</sst>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ACCDC9C-CE4C-4FBB-969F-09711915A6AC}" autoFormatId="16" applyNumberFormats="0" applyBorderFormats="0" applyFontFormats="0" applyPatternFormats="0" applyAlignmentFormats="0" applyWidthHeightFormats="0">
  <queryTableRefresh nextId="25" unboundColumnsRight="3">
    <queryTableFields count="22">
      <queryTableField id="1" name="IMDB_ID" tableColumnId="1"/>
      <queryTableField id="2" name="Title" tableColumnId="2"/>
      <queryTableField id="3" name="Plot" tableColumnId="3"/>
      <queryTableField id="4" name="Type" tableColumnId="4"/>
      <queryTableField id="5" name="Rated" tableColumnId="5"/>
      <queryTableField id="6" name="Year" tableColumnId="6"/>
      <queryTableField id="7" name="Released_at" tableColumnId="7"/>
      <queryTableField id="8" name="Added_at" tableColumnId="8"/>
      <queryTableField id="9" name="Runtime" tableColumnId="9"/>
      <queryTableField id="10" name="Genre" tableColumnId="10"/>
      <queryTableField id="11" name="Director" tableColumnId="11"/>
      <queryTableField id="12" name="Writer" tableColumnId="12"/>
      <queryTableField id="13" name="Actors" tableColumnId="13"/>
      <queryTableField id="14" name="Language" tableColumnId="14"/>
      <queryTableField id="15" name="Country" tableColumnId="15"/>
      <queryTableField id="16" name="Awards" tableColumnId="16"/>
      <queryTableField id="17" name="Metascore" tableColumnId="17"/>
      <queryTableField id="18" name="Imdb_rating" tableColumnId="18"/>
      <queryTableField id="19" name="Imdb_votes" tableColumnId="19"/>
      <queryTableField id="20" dataBound="0" tableColumnId="20"/>
      <queryTableField id="21" dataBound="0" tableColumnId="21"/>
      <queryTableField id="22" dataBound="0"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ADCAAE-573F-4315-9762-76F3B68CE541}" name="disney_plus_shows__2" displayName="disney_plus_shows__2" ref="A1:V21" tableType="queryTable" totalsRowShown="0">
  <autoFilter ref="A1:V21" xr:uid="{0DADCAAE-573F-4315-9762-76F3B68CE541}"/>
  <tableColumns count="22">
    <tableColumn id="1" xr3:uid="{DAA992E1-3CAB-451C-B04B-3D88E66C0FB6}" uniqueName="1" name="IMDB_ID" queryTableFieldId="1" dataDxfId="17"/>
    <tableColumn id="2" xr3:uid="{60D28943-885C-45AC-9EBC-4FC217239076}" uniqueName="2" name="Title" queryTableFieldId="2" dataDxfId="16"/>
    <tableColumn id="3" xr3:uid="{01415892-1FFD-4A5B-AE15-A2F297F45D29}" uniqueName="3" name="Plot" queryTableFieldId="3" dataDxfId="15"/>
    <tableColumn id="4" xr3:uid="{926BC164-FED4-4AB2-B625-2FA8D221219C}" uniqueName="4" name="Type" queryTableFieldId="4" dataDxfId="14"/>
    <tableColumn id="5" xr3:uid="{376394EF-AF2A-4DFF-81EA-C25D6F432125}" uniqueName="5" name="Rated" queryTableFieldId="5" dataDxfId="13"/>
    <tableColumn id="6" xr3:uid="{B31504B0-D39D-4CC7-A3E0-926DE8A33BD3}" uniqueName="6" name="Year" queryTableFieldId="6"/>
    <tableColumn id="7" xr3:uid="{7A654538-D983-4B40-B299-95F6D1AD7CE0}" uniqueName="7" name="Released_at" queryTableFieldId="7" dataDxfId="12"/>
    <tableColumn id="8" xr3:uid="{8E020FC3-A998-4B2E-9CCD-FBF2E6891A4D}" uniqueName="8" name="Added_at" queryTableFieldId="8" dataDxfId="11"/>
    <tableColumn id="9" xr3:uid="{DCCD3DC0-03D0-479E-BC78-0DA85EF8DBC8}" uniqueName="9" name="Runtime" queryTableFieldId="9" dataDxfId="10"/>
    <tableColumn id="10" xr3:uid="{B8EAB65B-DA7A-4CAA-B2BC-3890F4CB84BD}" uniqueName="10" name="Genre" queryTableFieldId="10" dataDxfId="9"/>
    <tableColumn id="11" xr3:uid="{86F5E7B0-30C8-4344-802D-E44F659CAD4D}" uniqueName="11" name="Director" queryTableFieldId="11" dataDxfId="8"/>
    <tableColumn id="12" xr3:uid="{3C98ADFB-DC42-4C8A-9D39-670AF847EE1B}" uniqueName="12" name="Writer" queryTableFieldId="12" dataDxfId="7"/>
    <tableColumn id="13" xr3:uid="{32FE8B95-3C80-4481-ACE1-D1D5FCE86231}" uniqueName="13" name="Actors" queryTableFieldId="13" dataDxfId="6"/>
    <tableColumn id="14" xr3:uid="{46BBA8BF-7C1B-4987-B9D5-10DDD09E48C7}" uniqueName="14" name="Language" queryTableFieldId="14" dataDxfId="5"/>
    <tableColumn id="15" xr3:uid="{C102CCEF-4124-473D-90BF-06EED5D593C9}" uniqueName="15" name="Country" queryTableFieldId="15" dataDxfId="4"/>
    <tableColumn id="16" xr3:uid="{8F4693F1-E8E1-4847-B232-CD2B1A52A92D}" uniqueName="16" name="Awards" queryTableFieldId="16" dataDxfId="3"/>
    <tableColumn id="17" xr3:uid="{EC5B5E94-F5D2-4087-A29C-DB78CC365404}" uniqueName="17" name="Metascore" queryTableFieldId="17"/>
    <tableColumn id="18" xr3:uid="{1031CD46-4677-49C3-9169-14A580C41798}" uniqueName="18" name="Imdb_rating" queryTableFieldId="18"/>
    <tableColumn id="19" xr3:uid="{4324E511-1ACD-433C-89F9-9F93A8B9069A}" uniqueName="19" name="Imdb_votes" queryTableFieldId="19"/>
    <tableColumn id="20" xr3:uid="{3A2E05E9-4226-4C6A-B305-EDBFE6A36B97}" uniqueName="20" name="Rating Status" queryTableFieldId="20" dataDxfId="2">
      <calculatedColumnFormula>IF(disney_plus_shows__2[[#This Row],[Imdb_rating]]&lt;5, " Low","High")</calculatedColumnFormula>
    </tableColumn>
    <tableColumn id="21" xr3:uid="{A90E8808-687A-43FF-A86F-A4E486BA25BD}" uniqueName="21" name="Vote Status" queryTableFieldId="21" dataDxfId="1">
      <calculatedColumnFormula>IF(disney_plus_shows__2[[#This Row],[Imdb_votes]]&lt;50000,"Low", IF(disney_plus_shows__2[[#This Row],[Imdb_votes]]&lt;200000,"Medium","High"))</calculatedColumnFormula>
    </tableColumn>
    <tableColumn id="22" xr3:uid="{2A02611D-6375-42DA-92CC-A019F37DB5E0}" uniqueName="22" name="Year Status" queryTableFieldId="22" dataDxfId="0">
      <calculatedColumnFormula>IF(F2&lt;1980,"Very Old",IF(F2&lt;2000,"Old",IF(F2&lt;2020,"Recent","New")))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5BD3C-9FE8-4951-954D-6EE676B9BDF1}">
  <dimension ref="A1:V21"/>
  <sheetViews>
    <sheetView tabSelected="1" topLeftCell="M1" workbookViewId="0">
      <selection activeCell="C24" sqref="C24"/>
    </sheetView>
  </sheetViews>
  <sheetFormatPr defaultRowHeight="14.4" x14ac:dyDescent="0.3"/>
  <cols>
    <col min="1" max="1" width="10.77734375" bestFit="1" customWidth="1"/>
    <col min="2" max="2" width="36.88671875" bestFit="1" customWidth="1"/>
    <col min="3" max="3" width="80.88671875" bestFit="1" customWidth="1"/>
    <col min="4" max="4" width="7.109375" bestFit="1" customWidth="1"/>
    <col min="5" max="5" width="10.109375" bestFit="1" customWidth="1"/>
    <col min="6" max="6" width="6.88671875" bestFit="1" customWidth="1"/>
    <col min="7" max="7" width="13.33203125" bestFit="1" customWidth="1"/>
    <col min="8" max="8" width="11.109375" bestFit="1" customWidth="1"/>
    <col min="9" max="9" width="10.21875" bestFit="1" customWidth="1"/>
    <col min="10" max="10" width="55.6640625" bestFit="1" customWidth="1"/>
    <col min="11" max="11" width="40.6640625" bestFit="1" customWidth="1"/>
    <col min="12" max="12" width="80.88671875" bestFit="1" customWidth="1"/>
    <col min="13" max="13" width="54.77734375" bestFit="1" customWidth="1"/>
    <col min="14" max="14" width="14" bestFit="1" customWidth="1"/>
    <col min="15" max="15" width="26.44140625" bestFit="1" customWidth="1"/>
    <col min="16" max="16" width="51.77734375" bestFit="1" customWidth="1"/>
    <col min="17" max="17" width="11.88671875" bestFit="1" customWidth="1"/>
    <col min="18" max="18" width="13.21875" bestFit="1" customWidth="1"/>
    <col min="19" max="19" width="12.88671875" bestFit="1" customWidth="1"/>
    <col min="20" max="20" width="11.33203125" style="2" customWidth="1"/>
    <col min="21" max="21" width="12.6640625" style="2" bestFit="1" customWidth="1"/>
    <col min="22" max="22" width="16.77734375" style="2" customWidth="1"/>
  </cols>
  <sheetData>
    <row r="1" spans="1:22" x14ac:dyDescent="0.3">
      <c r="A1" t="s">
        <v>143</v>
      </c>
      <c r="B1" t="s">
        <v>144</v>
      </c>
      <c r="C1" t="s">
        <v>145</v>
      </c>
      <c r="D1" t="s">
        <v>146</v>
      </c>
      <c r="E1" t="s">
        <v>147</v>
      </c>
      <c r="F1" t="s">
        <v>148</v>
      </c>
      <c r="G1" t="s">
        <v>149</v>
      </c>
      <c r="H1" t="s">
        <v>150</v>
      </c>
      <c r="I1" t="s">
        <v>151</v>
      </c>
      <c r="J1" t="s">
        <v>152</v>
      </c>
      <c r="K1" t="s">
        <v>153</v>
      </c>
      <c r="L1" t="s">
        <v>154</v>
      </c>
      <c r="M1" t="s">
        <v>155</v>
      </c>
      <c r="N1" t="s">
        <v>156</v>
      </c>
      <c r="O1" t="s">
        <v>157</v>
      </c>
      <c r="P1" t="s">
        <v>158</v>
      </c>
      <c r="Q1" t="s">
        <v>159</v>
      </c>
      <c r="R1" t="s">
        <v>160</v>
      </c>
      <c r="S1" t="s">
        <v>161</v>
      </c>
      <c r="T1" s="2" t="s">
        <v>198</v>
      </c>
      <c r="U1" s="2" t="s">
        <v>199</v>
      </c>
      <c r="V1" s="2" t="s">
        <v>200</v>
      </c>
    </row>
    <row r="2" spans="1:22" x14ac:dyDescent="0.3">
      <c r="A2" t="s">
        <v>162</v>
      </c>
      <c r="B2" t="s">
        <v>80</v>
      </c>
      <c r="C2" t="s">
        <v>81</v>
      </c>
      <c r="D2" t="s">
        <v>163</v>
      </c>
      <c r="E2" t="s">
        <v>82</v>
      </c>
      <c r="F2">
        <v>1946</v>
      </c>
      <c r="G2" s="1">
        <v>53394</v>
      </c>
      <c r="H2" s="1">
        <v>43781</v>
      </c>
      <c r="I2" t="s">
        <v>83</v>
      </c>
      <c r="J2" t="s">
        <v>84</v>
      </c>
      <c r="K2" t="s">
        <v>85</v>
      </c>
      <c r="L2" t="s">
        <v>86</v>
      </c>
      <c r="M2" t="s">
        <v>87</v>
      </c>
      <c r="N2" t="s">
        <v>14</v>
      </c>
      <c r="O2" t="s">
        <v>9</v>
      </c>
      <c r="P2" t="s">
        <v>164</v>
      </c>
      <c r="Q2">
        <v>0</v>
      </c>
      <c r="R2">
        <v>7</v>
      </c>
      <c r="S2">
        <v>488</v>
      </c>
      <c r="T2" s="2" t="str">
        <f>IF(disney_plus_shows__2[[#This Row],[Imdb_rating]]&lt;5, " Low","High")</f>
        <v>High</v>
      </c>
      <c r="U2" s="2" t="str">
        <f>IF(disney_plus_shows__2[[#This Row],[Imdb_votes]]&lt;50000,"Low", IF(disney_plus_shows__2[[#This Row],[Imdb_votes]]&lt;200000,"Medium","High"))</f>
        <v>Low</v>
      </c>
      <c r="V2" s="2" t="str">
        <f t="shared" ref="V2:V21" si="0">IF(F2&lt;1980,"Very Old",IF(F2&lt;2000,"Old",IF(F2&lt;2020,"Recent","New")))</f>
        <v>Very Old</v>
      </c>
    </row>
    <row r="3" spans="1:22" x14ac:dyDescent="0.3">
      <c r="A3" t="s">
        <v>165</v>
      </c>
      <c r="B3" t="s">
        <v>135</v>
      </c>
      <c r="C3" t="s">
        <v>136</v>
      </c>
      <c r="D3" t="s">
        <v>163</v>
      </c>
      <c r="E3" t="s">
        <v>18</v>
      </c>
      <c r="F3">
        <v>1951</v>
      </c>
      <c r="G3" s="1">
        <v>18885</v>
      </c>
      <c r="H3" s="1">
        <v>43781</v>
      </c>
      <c r="I3" t="s">
        <v>137</v>
      </c>
      <c r="J3" t="s">
        <v>138</v>
      </c>
      <c r="K3" t="s">
        <v>139</v>
      </c>
      <c r="L3" t="s">
        <v>140</v>
      </c>
      <c r="M3" t="s">
        <v>141</v>
      </c>
      <c r="N3" t="s">
        <v>14</v>
      </c>
      <c r="O3" t="s">
        <v>9</v>
      </c>
      <c r="P3" t="s">
        <v>166</v>
      </c>
      <c r="Q3">
        <v>68</v>
      </c>
      <c r="R3">
        <v>7.4</v>
      </c>
      <c r="S3">
        <v>123377</v>
      </c>
      <c r="T3" s="2" t="str">
        <f>IF(disney_plus_shows__2[[#This Row],[Imdb_rating]]&lt;5, " Low","High")</f>
        <v>High</v>
      </c>
      <c r="U3" s="2" t="str">
        <f>IF(disney_plus_shows__2[[#This Row],[Imdb_votes]]&lt;50000,"Low", IF(disney_plus_shows__2[[#This Row],[Imdb_votes]]&lt;200000,"Medium","High"))</f>
        <v>Medium</v>
      </c>
      <c r="V3" s="2" t="str">
        <f t="shared" si="0"/>
        <v>Very Old</v>
      </c>
    </row>
    <row r="4" spans="1:22" x14ac:dyDescent="0.3">
      <c r="A4" t="s">
        <v>167</v>
      </c>
      <c r="B4" t="s">
        <v>47</v>
      </c>
      <c r="C4" t="s">
        <v>48</v>
      </c>
      <c r="D4" t="s">
        <v>168</v>
      </c>
      <c r="E4" t="s">
        <v>18</v>
      </c>
      <c r="F4">
        <v>1954</v>
      </c>
      <c r="G4" s="1">
        <v>20290</v>
      </c>
      <c r="H4" s="1">
        <v>43781</v>
      </c>
      <c r="I4" t="s">
        <v>49</v>
      </c>
      <c r="J4" t="s">
        <v>50</v>
      </c>
      <c r="K4" t="s">
        <v>51</v>
      </c>
      <c r="L4" t="s">
        <v>52</v>
      </c>
      <c r="M4" t="s">
        <v>53</v>
      </c>
      <c r="N4" t="s">
        <v>14</v>
      </c>
      <c r="O4" t="s">
        <v>9</v>
      </c>
      <c r="P4" t="s">
        <v>169</v>
      </c>
      <c r="Q4">
        <v>83</v>
      </c>
      <c r="R4">
        <v>7.2</v>
      </c>
      <c r="S4">
        <v>27761</v>
      </c>
      <c r="T4" s="2" t="str">
        <f>IF(disney_plus_shows__2[[#This Row],[Imdb_rating]]&lt;5, " Low","High")</f>
        <v>High</v>
      </c>
      <c r="U4" s="2" t="str">
        <f>IF(disney_plus_shows__2[[#This Row],[Imdb_votes]]&lt;50000,"Low", IF(disney_plus_shows__2[[#This Row],[Imdb_votes]]&lt;200000,"Medium","High"))</f>
        <v>Low</v>
      </c>
      <c r="V4" s="2" t="str">
        <f t="shared" si="0"/>
        <v>Very Old</v>
      </c>
    </row>
    <row r="5" spans="1:22" x14ac:dyDescent="0.3">
      <c r="A5" t="s">
        <v>170</v>
      </c>
      <c r="B5" t="s">
        <v>109</v>
      </c>
      <c r="C5" t="s">
        <v>117</v>
      </c>
      <c r="D5" t="s">
        <v>168</v>
      </c>
      <c r="E5" t="s">
        <v>18</v>
      </c>
      <c r="F5">
        <v>1992</v>
      </c>
      <c r="G5" s="1">
        <v>33933</v>
      </c>
      <c r="H5" s="1">
        <v>43781</v>
      </c>
      <c r="I5" t="s">
        <v>42</v>
      </c>
      <c r="J5" t="s">
        <v>118</v>
      </c>
      <c r="K5" t="s">
        <v>119</v>
      </c>
      <c r="L5" t="s">
        <v>120</v>
      </c>
      <c r="M5" t="s">
        <v>121</v>
      </c>
      <c r="N5" t="s">
        <v>14</v>
      </c>
      <c r="O5" t="s">
        <v>9</v>
      </c>
      <c r="P5" t="s">
        <v>171</v>
      </c>
      <c r="Q5">
        <v>86</v>
      </c>
      <c r="R5">
        <v>8</v>
      </c>
      <c r="S5">
        <v>356283</v>
      </c>
      <c r="T5" s="2" t="str">
        <f>IF(disney_plus_shows__2[[#This Row],[Imdb_rating]]&lt;5, " Low","High")</f>
        <v>High</v>
      </c>
      <c r="U5" s="2" t="str">
        <f>IF(disney_plus_shows__2[[#This Row],[Imdb_votes]]&lt;50000,"Low", IF(disney_plus_shows__2[[#This Row],[Imdb_votes]]&lt;200000,"Medium","High"))</f>
        <v>High</v>
      </c>
      <c r="V5" s="2" t="str">
        <f t="shared" si="0"/>
        <v>Old</v>
      </c>
    </row>
    <row r="6" spans="1:22" x14ac:dyDescent="0.3">
      <c r="A6" t="s">
        <v>172</v>
      </c>
      <c r="B6" t="s">
        <v>129</v>
      </c>
      <c r="C6" t="s">
        <v>130</v>
      </c>
      <c r="D6" t="s">
        <v>168</v>
      </c>
      <c r="E6" t="s">
        <v>18</v>
      </c>
      <c r="F6">
        <v>1994</v>
      </c>
      <c r="G6" s="1">
        <v>34474</v>
      </c>
      <c r="H6" s="1">
        <v>43781</v>
      </c>
      <c r="I6" t="s">
        <v>131</v>
      </c>
      <c r="J6" t="s">
        <v>118</v>
      </c>
      <c r="K6" t="s">
        <v>132</v>
      </c>
      <c r="L6" t="s">
        <v>133</v>
      </c>
      <c r="M6" t="s">
        <v>134</v>
      </c>
      <c r="N6" t="s">
        <v>14</v>
      </c>
      <c r="O6" t="s">
        <v>9</v>
      </c>
      <c r="P6" t="s">
        <v>173</v>
      </c>
      <c r="Q6">
        <v>0</v>
      </c>
      <c r="R6">
        <v>5.9</v>
      </c>
      <c r="S6">
        <v>25623</v>
      </c>
      <c r="T6" s="2" t="str">
        <f>IF(disney_plus_shows__2[[#This Row],[Imdb_rating]]&lt;5, " Low","High")</f>
        <v>High</v>
      </c>
      <c r="U6" s="2" t="str">
        <f>IF(disney_plus_shows__2[[#This Row],[Imdb_votes]]&lt;50000,"Low", IF(disney_plus_shows__2[[#This Row],[Imdb_votes]]&lt;200000,"Medium","High"))</f>
        <v>Low</v>
      </c>
      <c r="V6" s="2" t="str">
        <f t="shared" si="0"/>
        <v>Old</v>
      </c>
    </row>
    <row r="7" spans="1:22" x14ac:dyDescent="0.3">
      <c r="A7" t="s">
        <v>174</v>
      </c>
      <c r="B7" t="s">
        <v>65</v>
      </c>
      <c r="C7" t="s">
        <v>66</v>
      </c>
      <c r="D7" t="s">
        <v>168</v>
      </c>
      <c r="E7" t="s">
        <v>18</v>
      </c>
      <c r="F7">
        <v>1995</v>
      </c>
      <c r="G7" s="1">
        <v>34796</v>
      </c>
      <c r="H7" s="1">
        <v>43781</v>
      </c>
      <c r="I7" t="s">
        <v>67</v>
      </c>
      <c r="J7" t="s">
        <v>68</v>
      </c>
      <c r="K7" t="s">
        <v>37</v>
      </c>
      <c r="L7" t="s">
        <v>69</v>
      </c>
      <c r="M7" t="s">
        <v>70</v>
      </c>
      <c r="N7" t="s">
        <v>14</v>
      </c>
      <c r="O7" t="s">
        <v>71</v>
      </c>
      <c r="P7" t="s">
        <v>175</v>
      </c>
      <c r="Q7">
        <v>0</v>
      </c>
      <c r="R7">
        <v>6.8</v>
      </c>
      <c r="S7">
        <v>43655</v>
      </c>
      <c r="T7" s="2" t="str">
        <f>IF(disney_plus_shows__2[[#This Row],[Imdb_rating]]&lt;5, " Low","High")</f>
        <v>High</v>
      </c>
      <c r="U7" s="2" t="str">
        <f>IF(disney_plus_shows__2[[#This Row],[Imdb_votes]]&lt;50000,"Low", IF(disney_plus_shows__2[[#This Row],[Imdb_votes]]&lt;200000,"Medium","High"))</f>
        <v>Low</v>
      </c>
      <c r="V7" s="2" t="str">
        <f t="shared" si="0"/>
        <v>Old</v>
      </c>
    </row>
    <row r="8" spans="1:22" x14ac:dyDescent="0.3">
      <c r="A8" t="s">
        <v>176</v>
      </c>
      <c r="B8" t="s">
        <v>72</v>
      </c>
      <c r="C8" t="s">
        <v>73</v>
      </c>
      <c r="D8" t="s">
        <v>168</v>
      </c>
      <c r="E8" t="s">
        <v>41</v>
      </c>
      <c r="F8">
        <v>1995</v>
      </c>
      <c r="G8" s="1">
        <v>34922</v>
      </c>
      <c r="H8" s="1">
        <v>43781</v>
      </c>
      <c r="I8" t="s">
        <v>74</v>
      </c>
      <c r="J8" t="s">
        <v>75</v>
      </c>
      <c r="K8" t="s">
        <v>76</v>
      </c>
      <c r="L8" t="s">
        <v>77</v>
      </c>
      <c r="M8" t="s">
        <v>78</v>
      </c>
      <c r="N8" t="s">
        <v>14</v>
      </c>
      <c r="O8" t="s">
        <v>79</v>
      </c>
      <c r="P8" t="s">
        <v>173</v>
      </c>
      <c r="Q8">
        <v>34</v>
      </c>
      <c r="R8">
        <v>4.7</v>
      </c>
      <c r="S8">
        <v>5479</v>
      </c>
      <c r="T8" s="2" t="str">
        <f>IF(disney_plus_shows__2[[#This Row],[Imdb_rating]]&lt;5, " Low","High")</f>
        <v xml:space="preserve"> Low</v>
      </c>
      <c r="U8" s="2" t="str">
        <f>IF(disney_plus_shows__2[[#This Row],[Imdb_votes]]&lt;50000,"Low", IF(disney_plus_shows__2[[#This Row],[Imdb_votes]]&lt;200000,"Medium","High"))</f>
        <v>Low</v>
      </c>
      <c r="V8" s="2" t="str">
        <f t="shared" si="0"/>
        <v>Old</v>
      </c>
    </row>
    <row r="9" spans="1:22" x14ac:dyDescent="0.3">
      <c r="A9" t="s">
        <v>177</v>
      </c>
      <c r="B9" t="s">
        <v>16</v>
      </c>
      <c r="C9" t="s">
        <v>17</v>
      </c>
      <c r="D9" t="s">
        <v>168</v>
      </c>
      <c r="E9" t="s">
        <v>18</v>
      </c>
      <c r="F9">
        <v>1996</v>
      </c>
      <c r="G9" s="1">
        <v>35396</v>
      </c>
      <c r="H9" s="1">
        <v>43781</v>
      </c>
      <c r="I9" t="s">
        <v>19</v>
      </c>
      <c r="J9" t="s">
        <v>20</v>
      </c>
      <c r="K9" t="s">
        <v>21</v>
      </c>
      <c r="L9" t="s">
        <v>22</v>
      </c>
      <c r="M9" t="s">
        <v>23</v>
      </c>
      <c r="N9" t="s">
        <v>24</v>
      </c>
      <c r="O9" t="s">
        <v>25</v>
      </c>
      <c r="P9" t="s">
        <v>178</v>
      </c>
      <c r="Q9">
        <v>49</v>
      </c>
      <c r="R9">
        <v>5.7</v>
      </c>
      <c r="S9">
        <v>97785</v>
      </c>
      <c r="T9" s="2" t="str">
        <f>IF(disney_plus_shows__2[[#This Row],[Imdb_rating]]&lt;5, " Low","High")</f>
        <v>High</v>
      </c>
      <c r="U9" s="2" t="str">
        <f>IF(disney_plus_shows__2[[#This Row],[Imdb_votes]]&lt;50000,"Low", IF(disney_plus_shows__2[[#This Row],[Imdb_votes]]&lt;200000,"Medium","High"))</f>
        <v>Medium</v>
      </c>
      <c r="V9" s="2" t="str">
        <f t="shared" si="0"/>
        <v>Old</v>
      </c>
    </row>
    <row r="10" spans="1:22" x14ac:dyDescent="0.3">
      <c r="A10" t="s">
        <v>179</v>
      </c>
      <c r="B10" t="s">
        <v>122</v>
      </c>
      <c r="C10" t="s">
        <v>123</v>
      </c>
      <c r="D10" t="s">
        <v>163</v>
      </c>
      <c r="E10" t="s">
        <v>124</v>
      </c>
      <c r="F10">
        <v>1996</v>
      </c>
      <c r="G10" s="1">
        <v>35290</v>
      </c>
      <c r="H10" s="1">
        <v>43781</v>
      </c>
      <c r="I10" t="s">
        <v>125</v>
      </c>
      <c r="J10" t="s">
        <v>118</v>
      </c>
      <c r="K10" t="s">
        <v>126</v>
      </c>
      <c r="L10" t="s">
        <v>127</v>
      </c>
      <c r="M10" t="s">
        <v>128</v>
      </c>
      <c r="N10" t="s">
        <v>14</v>
      </c>
      <c r="O10" t="s">
        <v>9</v>
      </c>
      <c r="P10" t="s">
        <v>180</v>
      </c>
      <c r="Q10">
        <v>0</v>
      </c>
      <c r="R10">
        <v>6.4</v>
      </c>
      <c r="S10">
        <v>31603</v>
      </c>
      <c r="T10" s="2" t="str">
        <f>IF(disney_plus_shows__2[[#This Row],[Imdb_rating]]&lt;5, " Low","High")</f>
        <v>High</v>
      </c>
      <c r="U10" s="2" t="str">
        <f>IF(disney_plus_shows__2[[#This Row],[Imdb_votes]]&lt;50000,"Low", IF(disney_plus_shows__2[[#This Row],[Imdb_votes]]&lt;200000,"Medium","High"))</f>
        <v>Low</v>
      </c>
      <c r="V10" s="2" t="str">
        <f t="shared" si="0"/>
        <v>Old</v>
      </c>
    </row>
    <row r="11" spans="1:22" x14ac:dyDescent="0.3">
      <c r="A11" t="s">
        <v>181</v>
      </c>
      <c r="B11" t="s">
        <v>54</v>
      </c>
      <c r="C11" t="s">
        <v>55</v>
      </c>
      <c r="D11" t="s">
        <v>168</v>
      </c>
      <c r="E11" t="s">
        <v>18</v>
      </c>
      <c r="F11">
        <v>1998</v>
      </c>
      <c r="G11" s="1">
        <v>36124</v>
      </c>
      <c r="H11" s="1">
        <v>43781</v>
      </c>
      <c r="I11" t="s">
        <v>56</v>
      </c>
      <c r="J11" t="s">
        <v>57</v>
      </c>
      <c r="K11" t="s">
        <v>58</v>
      </c>
      <c r="L11" t="s">
        <v>59</v>
      </c>
      <c r="M11" t="s">
        <v>60</v>
      </c>
      <c r="N11" t="s">
        <v>14</v>
      </c>
      <c r="O11" t="s">
        <v>9</v>
      </c>
      <c r="P11" t="s">
        <v>182</v>
      </c>
      <c r="Q11">
        <v>77</v>
      </c>
      <c r="R11">
        <v>7.2</v>
      </c>
      <c r="S11">
        <v>257065</v>
      </c>
      <c r="T11" s="2" t="str">
        <f>IF(disney_plus_shows__2[[#This Row],[Imdb_rating]]&lt;5, " Low","High")</f>
        <v>High</v>
      </c>
      <c r="U11" s="2" t="str">
        <f>IF(disney_plus_shows__2[[#This Row],[Imdb_votes]]&lt;50000,"Low", IF(disney_plus_shows__2[[#This Row],[Imdb_votes]]&lt;200000,"Medium","High"))</f>
        <v>High</v>
      </c>
      <c r="V11" s="2" t="str">
        <f t="shared" si="0"/>
        <v>Old</v>
      </c>
    </row>
    <row r="12" spans="1:22" x14ac:dyDescent="0.3">
      <c r="A12" t="s">
        <v>183</v>
      </c>
      <c r="B12" t="s">
        <v>0</v>
      </c>
      <c r="C12" t="s">
        <v>1</v>
      </c>
      <c r="D12" t="s">
        <v>168</v>
      </c>
      <c r="E12" t="s">
        <v>2</v>
      </c>
      <c r="F12">
        <v>1999</v>
      </c>
      <c r="G12" s="1">
        <v>36250</v>
      </c>
      <c r="H12" s="1">
        <v>43781</v>
      </c>
      <c r="I12" t="s">
        <v>3</v>
      </c>
      <c r="J12" t="s">
        <v>4</v>
      </c>
      <c r="K12" t="s">
        <v>5</v>
      </c>
      <c r="L12" t="s">
        <v>6</v>
      </c>
      <c r="M12" t="s">
        <v>7</v>
      </c>
      <c r="N12" t="s">
        <v>8</v>
      </c>
      <c r="O12" t="s">
        <v>9</v>
      </c>
      <c r="P12" t="s">
        <v>184</v>
      </c>
      <c r="Q12">
        <v>70</v>
      </c>
      <c r="R12">
        <v>7.3</v>
      </c>
      <c r="S12">
        <v>283945</v>
      </c>
      <c r="T12" s="2" t="str">
        <f>IF(disney_plus_shows__2[[#This Row],[Imdb_rating]]&lt;5, " Low","High")</f>
        <v>High</v>
      </c>
      <c r="U12" s="2" t="str">
        <f>IF(disney_plus_shows__2[[#This Row],[Imdb_votes]]&lt;50000,"Low", IF(disney_plus_shows__2[[#This Row],[Imdb_votes]]&lt;200000,"Medium","High"))</f>
        <v>High</v>
      </c>
      <c r="V12" s="2" t="str">
        <f t="shared" si="0"/>
        <v>Old</v>
      </c>
    </row>
    <row r="13" spans="1:22" x14ac:dyDescent="0.3">
      <c r="A13" t="s">
        <v>185</v>
      </c>
      <c r="B13" t="s">
        <v>33</v>
      </c>
      <c r="C13" t="s">
        <v>34</v>
      </c>
      <c r="D13" t="s">
        <v>168</v>
      </c>
      <c r="E13" t="s">
        <v>18</v>
      </c>
      <c r="F13">
        <v>2000</v>
      </c>
      <c r="G13" s="1">
        <v>36852</v>
      </c>
      <c r="H13" s="1">
        <v>43781</v>
      </c>
      <c r="I13" t="s">
        <v>35</v>
      </c>
      <c r="J13" t="s">
        <v>36</v>
      </c>
      <c r="K13" t="s">
        <v>37</v>
      </c>
      <c r="L13" t="s">
        <v>38</v>
      </c>
      <c r="M13" t="s">
        <v>142</v>
      </c>
      <c r="N13" t="s">
        <v>14</v>
      </c>
      <c r="O13" t="s">
        <v>25</v>
      </c>
      <c r="P13" t="s">
        <v>186</v>
      </c>
      <c r="Q13">
        <v>35</v>
      </c>
      <c r="R13">
        <v>4.9000000000000004</v>
      </c>
      <c r="S13">
        <v>33444</v>
      </c>
      <c r="T13" s="2" t="str">
        <f>IF(disney_plus_shows__2[[#This Row],[Imdb_rating]]&lt;5, " Low","High")</f>
        <v xml:space="preserve"> Low</v>
      </c>
      <c r="U13" s="2" t="str">
        <f>IF(disney_plus_shows__2[[#This Row],[Imdb_votes]]&lt;50000,"Low", IF(disney_plus_shows__2[[#This Row],[Imdb_votes]]&lt;200000,"Medium","High"))</f>
        <v>Low</v>
      </c>
      <c r="V13" s="2" t="str">
        <f t="shared" si="0"/>
        <v>Recent</v>
      </c>
    </row>
    <row r="14" spans="1:22" x14ac:dyDescent="0.3">
      <c r="A14" t="s">
        <v>187</v>
      </c>
      <c r="B14" t="s">
        <v>88</v>
      </c>
      <c r="C14" t="s">
        <v>89</v>
      </c>
      <c r="D14" t="s">
        <v>168</v>
      </c>
      <c r="E14" t="s">
        <v>90</v>
      </c>
      <c r="F14">
        <v>2002</v>
      </c>
      <c r="G14" s="1">
        <v>37491</v>
      </c>
      <c r="H14" s="1">
        <v>43781</v>
      </c>
      <c r="I14" t="s">
        <v>91</v>
      </c>
      <c r="J14" t="s">
        <v>92</v>
      </c>
      <c r="K14" t="s">
        <v>93</v>
      </c>
      <c r="L14" t="s">
        <v>94</v>
      </c>
      <c r="M14" t="s">
        <v>95</v>
      </c>
      <c r="N14" t="s">
        <v>14</v>
      </c>
      <c r="O14" t="s">
        <v>9</v>
      </c>
      <c r="P14" t="s">
        <v>180</v>
      </c>
      <c r="Q14">
        <v>0</v>
      </c>
      <c r="R14">
        <v>6.1</v>
      </c>
      <c r="S14">
        <v>1042</v>
      </c>
      <c r="T14" s="2" t="str">
        <f>IF(disney_plus_shows__2[[#This Row],[Imdb_rating]]&lt;5, " Low","High")</f>
        <v>High</v>
      </c>
      <c r="U14" s="2" t="str">
        <f>IF(disney_plus_shows__2[[#This Row],[Imdb_votes]]&lt;50000,"Low", IF(disney_plus_shows__2[[#This Row],[Imdb_votes]]&lt;200000,"Medium","High"))</f>
        <v>Low</v>
      </c>
      <c r="V14" s="2" t="str">
        <f t="shared" si="0"/>
        <v>Recent</v>
      </c>
    </row>
    <row r="15" spans="1:22" x14ac:dyDescent="0.3">
      <c r="A15" t="s">
        <v>188</v>
      </c>
      <c r="B15" t="s">
        <v>96</v>
      </c>
      <c r="C15" t="s">
        <v>97</v>
      </c>
      <c r="D15" t="s">
        <v>168</v>
      </c>
      <c r="E15" t="s">
        <v>18</v>
      </c>
      <c r="F15">
        <v>1977</v>
      </c>
      <c r="G15" s="1">
        <v>28298</v>
      </c>
      <c r="H15" s="1">
        <v>43924</v>
      </c>
      <c r="I15" t="s">
        <v>98</v>
      </c>
      <c r="J15" t="s">
        <v>99</v>
      </c>
      <c r="K15" t="s">
        <v>100</v>
      </c>
      <c r="L15" t="s">
        <v>100</v>
      </c>
      <c r="M15" t="s">
        <v>101</v>
      </c>
      <c r="N15" t="s">
        <v>14</v>
      </c>
      <c r="O15" t="s">
        <v>9</v>
      </c>
      <c r="P15" t="s">
        <v>164</v>
      </c>
      <c r="Q15">
        <v>0</v>
      </c>
      <c r="R15">
        <v>7.1</v>
      </c>
      <c r="S15">
        <v>59</v>
      </c>
      <c r="T15" s="2" t="str">
        <f>IF(disney_plus_shows__2[[#This Row],[Imdb_rating]]&lt;5, " Low","High")</f>
        <v>High</v>
      </c>
      <c r="U15" s="2" t="str">
        <f>IF(disney_plus_shows__2[[#This Row],[Imdb_votes]]&lt;50000,"Low", IF(disney_plus_shows__2[[#This Row],[Imdb_votes]]&lt;200000,"Medium","High"))</f>
        <v>Low</v>
      </c>
      <c r="V15" s="2" t="str">
        <f t="shared" si="0"/>
        <v>Very Old</v>
      </c>
    </row>
    <row r="16" spans="1:22" x14ac:dyDescent="0.3">
      <c r="A16" t="s">
        <v>189</v>
      </c>
      <c r="B16" t="s">
        <v>26</v>
      </c>
      <c r="C16" t="s">
        <v>27</v>
      </c>
      <c r="D16" t="s">
        <v>168</v>
      </c>
      <c r="E16" t="s">
        <v>18</v>
      </c>
      <c r="F16">
        <v>2002</v>
      </c>
      <c r="G16" s="1">
        <v>37642</v>
      </c>
      <c r="H16" s="1">
        <v>43781</v>
      </c>
      <c r="I16" t="s">
        <v>28</v>
      </c>
      <c r="J16" t="s">
        <v>29</v>
      </c>
      <c r="K16" t="s">
        <v>30</v>
      </c>
      <c r="L16" t="s">
        <v>31</v>
      </c>
      <c r="M16" t="s">
        <v>32</v>
      </c>
      <c r="N16" t="s">
        <v>14</v>
      </c>
      <c r="O16" t="s">
        <v>9</v>
      </c>
      <c r="P16" t="s">
        <v>190</v>
      </c>
      <c r="Q16">
        <v>0</v>
      </c>
      <c r="R16">
        <v>5.8</v>
      </c>
      <c r="S16">
        <v>7434</v>
      </c>
      <c r="T16" s="2" t="str">
        <f>IF(disney_plus_shows__2[[#This Row],[Imdb_rating]]&lt;5, " Low","High")</f>
        <v>High</v>
      </c>
      <c r="U16" s="2" t="str">
        <f>IF(disney_plus_shows__2[[#This Row],[Imdb_votes]]&lt;50000,"Low", IF(disney_plus_shows__2[[#This Row],[Imdb_votes]]&lt;200000,"Medium","High"))</f>
        <v>Low</v>
      </c>
      <c r="V16" s="2" t="str">
        <f t="shared" si="0"/>
        <v>Recent</v>
      </c>
    </row>
    <row r="17" spans="1:22" x14ac:dyDescent="0.3">
      <c r="A17" t="s">
        <v>191</v>
      </c>
      <c r="B17" t="s">
        <v>61</v>
      </c>
      <c r="C17" t="s">
        <v>164</v>
      </c>
      <c r="D17" t="s">
        <v>163</v>
      </c>
      <c r="E17" t="s">
        <v>164</v>
      </c>
      <c r="F17">
        <v>2020</v>
      </c>
      <c r="G17" s="1">
        <v>43931</v>
      </c>
      <c r="H17" s="1">
        <v>43931</v>
      </c>
      <c r="I17" t="s">
        <v>164</v>
      </c>
      <c r="J17" t="s">
        <v>62</v>
      </c>
      <c r="K17" t="s">
        <v>63</v>
      </c>
      <c r="L17" t="s">
        <v>164</v>
      </c>
      <c r="M17" t="s">
        <v>64</v>
      </c>
      <c r="N17" t="s">
        <v>14</v>
      </c>
      <c r="O17" t="s">
        <v>9</v>
      </c>
      <c r="P17" t="s">
        <v>164</v>
      </c>
      <c r="Q17">
        <v>0</v>
      </c>
      <c r="R17">
        <v>7.6</v>
      </c>
      <c r="S17">
        <v>35</v>
      </c>
      <c r="T17" s="2" t="str">
        <f>IF(disney_plus_shows__2[[#This Row],[Imdb_rating]]&lt;5, " Low","High")</f>
        <v>High</v>
      </c>
      <c r="U17" s="2" t="str">
        <f>IF(disney_plus_shows__2[[#This Row],[Imdb_votes]]&lt;50000,"Low", IF(disney_plus_shows__2[[#This Row],[Imdb_votes]]&lt;200000,"Medium","High"))</f>
        <v>Low</v>
      </c>
      <c r="V17" s="2" t="str">
        <f t="shared" si="0"/>
        <v>New</v>
      </c>
    </row>
    <row r="18" spans="1:22" x14ac:dyDescent="0.3">
      <c r="A18" t="s">
        <v>192</v>
      </c>
      <c r="B18" t="s">
        <v>102</v>
      </c>
      <c r="C18" t="s">
        <v>103</v>
      </c>
      <c r="D18" t="s">
        <v>163</v>
      </c>
      <c r="E18" t="s">
        <v>41</v>
      </c>
      <c r="F18">
        <v>2018</v>
      </c>
      <c r="G18" s="1">
        <v>43168</v>
      </c>
      <c r="H18" s="1">
        <v>43915</v>
      </c>
      <c r="I18" t="s">
        <v>104</v>
      </c>
      <c r="J18" t="s">
        <v>105</v>
      </c>
      <c r="K18" t="s">
        <v>106</v>
      </c>
      <c r="L18" t="s">
        <v>107</v>
      </c>
      <c r="M18" t="s">
        <v>108</v>
      </c>
      <c r="N18" t="s">
        <v>14</v>
      </c>
      <c r="O18" t="s">
        <v>9</v>
      </c>
      <c r="P18" t="s">
        <v>193</v>
      </c>
      <c r="Q18">
        <v>53</v>
      </c>
      <c r="R18">
        <v>4.2</v>
      </c>
      <c r="S18">
        <v>38659</v>
      </c>
      <c r="T18" s="2" t="str">
        <f>IF(disney_plus_shows__2[[#This Row],[Imdb_rating]]&lt;5, " Low","High")</f>
        <v xml:space="preserve"> Low</v>
      </c>
      <c r="U18" s="2" t="str">
        <f>IF(disney_plus_shows__2[[#This Row],[Imdb_votes]]&lt;50000,"Low", IF(disney_plus_shows__2[[#This Row],[Imdb_votes]]&lt;200000,"Medium","High"))</f>
        <v>Low</v>
      </c>
      <c r="V18" s="2" t="str">
        <f t="shared" si="0"/>
        <v>Recent</v>
      </c>
    </row>
    <row r="19" spans="1:22" x14ac:dyDescent="0.3">
      <c r="A19" t="s">
        <v>194</v>
      </c>
      <c r="B19" t="s">
        <v>39</v>
      </c>
      <c r="C19" t="s">
        <v>40</v>
      </c>
      <c r="D19" t="s">
        <v>163</v>
      </c>
      <c r="E19" t="s">
        <v>41</v>
      </c>
      <c r="F19">
        <v>2011</v>
      </c>
      <c r="G19" s="1">
        <v>40888</v>
      </c>
      <c r="H19" s="1">
        <v>43781</v>
      </c>
      <c r="I19" t="s">
        <v>42</v>
      </c>
      <c r="J19" t="s">
        <v>43</v>
      </c>
      <c r="K19" t="s">
        <v>44</v>
      </c>
      <c r="L19" t="s">
        <v>45</v>
      </c>
      <c r="M19" t="s">
        <v>46</v>
      </c>
      <c r="N19" t="s">
        <v>14</v>
      </c>
      <c r="O19" t="s">
        <v>9</v>
      </c>
      <c r="P19" t="s">
        <v>173</v>
      </c>
      <c r="Q19">
        <v>0</v>
      </c>
      <c r="R19">
        <v>6.3</v>
      </c>
      <c r="S19">
        <v>4933</v>
      </c>
      <c r="T19" s="2" t="str">
        <f>IF(disney_plus_shows__2[[#This Row],[Imdb_rating]]&lt;5, " Low","High")</f>
        <v>High</v>
      </c>
      <c r="U19" s="2" t="str">
        <f>IF(disney_plus_shows__2[[#This Row],[Imdb_votes]]&lt;50000,"Low", IF(disney_plus_shows__2[[#This Row],[Imdb_votes]]&lt;200000,"Medium","High"))</f>
        <v>Low</v>
      </c>
      <c r="V19" s="2" t="str">
        <f t="shared" si="0"/>
        <v>Recent</v>
      </c>
    </row>
    <row r="20" spans="1:22" x14ac:dyDescent="0.3">
      <c r="A20" t="s">
        <v>195</v>
      </c>
      <c r="B20" t="s">
        <v>109</v>
      </c>
      <c r="C20" t="s">
        <v>110</v>
      </c>
      <c r="D20" t="s">
        <v>168</v>
      </c>
      <c r="E20" t="s">
        <v>41</v>
      </c>
      <c r="F20">
        <v>2019</v>
      </c>
      <c r="G20" s="1">
        <v>43609</v>
      </c>
      <c r="H20" s="1">
        <v>43838</v>
      </c>
      <c r="I20" t="s">
        <v>111</v>
      </c>
      <c r="J20" t="s">
        <v>112</v>
      </c>
      <c r="K20" t="s">
        <v>113</v>
      </c>
      <c r="L20" t="s">
        <v>114</v>
      </c>
      <c r="M20" t="s">
        <v>115</v>
      </c>
      <c r="N20" t="s">
        <v>116</v>
      </c>
      <c r="O20" t="s">
        <v>9</v>
      </c>
      <c r="P20" t="s">
        <v>196</v>
      </c>
      <c r="Q20">
        <v>53</v>
      </c>
      <c r="R20">
        <v>7</v>
      </c>
      <c r="S20">
        <v>204537</v>
      </c>
      <c r="T20" s="2" t="str">
        <f>IF(disney_plus_shows__2[[#This Row],[Imdb_rating]]&lt;5, " Low","High")</f>
        <v>High</v>
      </c>
      <c r="U20" s="2" t="str">
        <f>IF(disney_plus_shows__2[[#This Row],[Imdb_votes]]&lt;50000,"Low", IF(disney_plus_shows__2[[#This Row],[Imdb_votes]]&lt;200000,"Medium","High"))</f>
        <v>High</v>
      </c>
      <c r="V20" s="2" t="str">
        <f t="shared" si="0"/>
        <v>Recent</v>
      </c>
    </row>
    <row r="21" spans="1:22" x14ac:dyDescent="0.3">
      <c r="A21" t="s">
        <v>197</v>
      </c>
      <c r="B21" t="s">
        <v>10</v>
      </c>
      <c r="C21" t="s">
        <v>11</v>
      </c>
      <c r="D21" t="s">
        <v>163</v>
      </c>
      <c r="E21" t="s">
        <v>164</v>
      </c>
      <c r="F21">
        <v>2018</v>
      </c>
      <c r="G21" s="1">
        <v>43549</v>
      </c>
      <c r="H21" s="1">
        <v>43889</v>
      </c>
      <c r="I21" t="s">
        <v>164</v>
      </c>
      <c r="J21" t="s">
        <v>12</v>
      </c>
      <c r="K21" t="s">
        <v>164</v>
      </c>
      <c r="L21" t="s">
        <v>164</v>
      </c>
      <c r="M21" t="s">
        <v>13</v>
      </c>
      <c r="N21" t="s">
        <v>14</v>
      </c>
      <c r="O21" t="s">
        <v>15</v>
      </c>
      <c r="P21" t="s">
        <v>164</v>
      </c>
      <c r="Q21">
        <v>0</v>
      </c>
      <c r="R21">
        <v>6.2</v>
      </c>
      <c r="S21">
        <v>124</v>
      </c>
      <c r="T21" s="2" t="str">
        <f>IF(disney_plus_shows__2[[#This Row],[Imdb_rating]]&lt;5, " Low","High")</f>
        <v>High</v>
      </c>
      <c r="U21" s="2" t="str">
        <f>IF(disney_plus_shows__2[[#This Row],[Imdb_votes]]&lt;50000,"Low", IF(disney_plus_shows__2[[#This Row],[Imdb_votes]]&lt;200000,"Medium","High"))</f>
        <v>Low</v>
      </c>
      <c r="V21" s="2" t="str">
        <f t="shared" si="0"/>
        <v>Recent</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70792E-501C-469D-A9D8-5587C223EE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disney_plus_shows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alwin johns</cp:lastModifiedBy>
  <dcterms:created xsi:type="dcterms:W3CDTF">2026-03-23T10:14:23Z</dcterms:created>
  <dcterms:modified xsi:type="dcterms:W3CDTF">2026-04-02T14:00:17Z</dcterms:modified>
</cp:coreProperties>
</file>